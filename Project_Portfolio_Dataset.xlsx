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tar\Downloads\"/>
    </mc:Choice>
  </mc:AlternateContent>
  <xr:revisionPtr revIDLastSave="0" documentId="13_ncr:1_{50770E8F-3B67-4FF6-9EDD-6AF8DDA04B1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Project Portfolio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2" i="1"/>
  <c r="L3" i="1"/>
  <c r="L4" i="1"/>
  <c r="L5" i="1"/>
  <c r="L6" i="1"/>
  <c r="L7" i="1"/>
  <c r="L8" i="1"/>
  <c r="L9" i="1"/>
  <c r="L10" i="1"/>
  <c r="L11" i="1"/>
  <c r="L12" i="1"/>
  <c r="L13" i="1"/>
  <c r="L2" i="1"/>
  <c r="K3" i="1"/>
  <c r="K4" i="1"/>
  <c r="K5" i="1"/>
  <c r="K6" i="1"/>
  <c r="K7" i="1"/>
  <c r="K8" i="1"/>
  <c r="K9" i="1"/>
  <c r="K10" i="1"/>
  <c r="K11" i="1"/>
  <c r="K12" i="1"/>
  <c r="K13" i="1"/>
  <c r="K2" i="1"/>
  <c r="J3" i="1"/>
  <c r="J4" i="1"/>
  <c r="J5" i="1"/>
  <c r="J6" i="1"/>
  <c r="J7" i="1"/>
  <c r="J8" i="1"/>
  <c r="J9" i="1"/>
  <c r="J10" i="1"/>
  <c r="J11" i="1"/>
  <c r="J12" i="1"/>
  <c r="J13" i="1"/>
  <c r="J2" i="1"/>
</calcChain>
</file>

<file path=xl/sharedStrings.xml><?xml version="1.0" encoding="utf-8"?>
<sst xmlns="http://schemas.openxmlformats.org/spreadsheetml/2006/main" count="51" uniqueCount="43">
  <si>
    <t>Project ID</t>
  </si>
  <si>
    <t>Project Name</t>
  </si>
  <si>
    <t>Strategic Theme</t>
  </si>
  <si>
    <t>Growth Enablement</t>
  </si>
  <si>
    <t>Risk Shielding</t>
  </si>
  <si>
    <t>Customer Leverage</t>
  </si>
  <si>
    <t>Operational Relief</t>
  </si>
  <si>
    <t>Delivery Effort</t>
  </si>
  <si>
    <t>Time Sensitivity</t>
  </si>
  <si>
    <t>P01</t>
  </si>
  <si>
    <t>CRM Modernization</t>
  </si>
  <si>
    <t>Growth</t>
  </si>
  <si>
    <t>P02</t>
  </si>
  <si>
    <t>Regulatory Reporting Automation</t>
  </si>
  <si>
    <t>Compliance</t>
  </si>
  <si>
    <t>P03</t>
  </si>
  <si>
    <t>Mobile App Redesign</t>
  </si>
  <si>
    <t>Innovation</t>
  </si>
  <si>
    <t>P04</t>
  </si>
  <si>
    <t>Legacy System Decommissioning</t>
  </si>
  <si>
    <t>Efficiency</t>
  </si>
  <si>
    <t>P05</t>
  </si>
  <si>
    <t>Customer Analytics Platform</t>
  </si>
  <si>
    <t>P06</t>
  </si>
  <si>
    <t>Cybersecurity Hardening</t>
  </si>
  <si>
    <t>P07</t>
  </si>
  <si>
    <t>Invoice Processing Automation</t>
  </si>
  <si>
    <t>P08</t>
  </si>
  <si>
    <t>AI Recommendation Engine</t>
  </si>
  <si>
    <t>P09</t>
  </si>
  <si>
    <t>Cloud Infrastructure Migration</t>
  </si>
  <si>
    <t>P10</t>
  </si>
  <si>
    <t>Customer Self-Service Portal</t>
  </si>
  <si>
    <t>P11</t>
  </si>
  <si>
    <t>Data Governance Framework</t>
  </si>
  <si>
    <t>P12</t>
  </si>
  <si>
    <t>Workflow Orchestration Tool</t>
  </si>
  <si>
    <t>Weighted Value Score</t>
  </si>
  <si>
    <t>Delivery Friction Score</t>
  </si>
  <si>
    <t>Composite Priority Index</t>
  </si>
  <si>
    <t>Priority Rank</t>
  </si>
  <si>
    <t>Portfolio Category</t>
  </si>
  <si>
    <t>Recommended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</si>
</sst>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N15" sqref="N15"/>
    </sheetView>
  </sheetViews>
  <sheetFormatPr defaultRowHeight="14.5" x14ac:dyDescent="0.35"/>
  <cols>
    <col min="9" max="9" width="18.81640625" customWidth="1"/>
    <col min="10" max="10" width="18.54296875" customWidth="1"/>
    <col min="11" max="11" width="18.453125" customWidth="1"/>
    <col min="12" max="12" width="21.36328125" customWidth="1"/>
    <col min="13" max="13" width="11.36328125" customWidth="1"/>
    <col min="14" max="14" width="16.089843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</row>
    <row r="2" spans="1:15" x14ac:dyDescent="0.35">
      <c r="A2" t="s">
        <v>9</v>
      </c>
      <c r="B2" t="s">
        <v>10</v>
      </c>
      <c r="C2" t="s">
        <v>11</v>
      </c>
      <c r="D2">
        <v>5</v>
      </c>
      <c r="E2">
        <v>2</v>
      </c>
      <c r="F2">
        <v>5</v>
      </c>
      <c r="G2">
        <v>3</v>
      </c>
      <c r="H2">
        <v>4</v>
      </c>
      <c r="I2">
        <v>4</v>
      </c>
      <c r="J2">
        <f xml:space="preserve"> (D2*0.35) + (E2*0.25) + (F2*0.25) + (G2*0.15)</f>
        <v>3.95</v>
      </c>
      <c r="K2">
        <f xml:space="preserve"> (H2*0.6) + (I2*0.4)</f>
        <v>4</v>
      </c>
      <c r="L2">
        <f xml:space="preserve"> J2 / K2</f>
        <v>0.98750000000000004</v>
      </c>
      <c r="M2">
        <f xml:space="preserve"> RANK(L2, $L$2:$L$13, 0)</f>
        <v>6</v>
      </c>
      <c r="O2" s="1"/>
    </row>
    <row r="3" spans="1:15" x14ac:dyDescent="0.35">
      <c r="A3" t="s">
        <v>12</v>
      </c>
      <c r="B3" t="s">
        <v>13</v>
      </c>
      <c r="C3" t="s">
        <v>14</v>
      </c>
      <c r="D3">
        <v>2</v>
      </c>
      <c r="E3">
        <v>5</v>
      </c>
      <c r="F3">
        <v>2</v>
      </c>
      <c r="G3">
        <v>4</v>
      </c>
      <c r="H3">
        <v>3</v>
      </c>
      <c r="I3">
        <v>5</v>
      </c>
      <c r="J3">
        <f t="shared" ref="J3:J13" si="0" xml:space="preserve"> (D3*0.35) + (E3*0.25) + (F3*0.25) + (G3*0.15)</f>
        <v>3.0500000000000003</v>
      </c>
      <c r="K3">
        <f t="shared" ref="K3:K13" si="1" xml:space="preserve"> (H3*0.6) + (I3*0.4)</f>
        <v>3.8</v>
      </c>
      <c r="L3">
        <f t="shared" ref="L3:L13" si="2" xml:space="preserve"> J3 / K3</f>
        <v>0.80263157894736847</v>
      </c>
      <c r="M3">
        <f t="shared" ref="M3:M13" si="3" xml:space="preserve"> RANK(L3, $L$2:$L$13, 0)</f>
        <v>8</v>
      </c>
    </row>
    <row r="4" spans="1:15" x14ac:dyDescent="0.35">
      <c r="A4" t="s">
        <v>15</v>
      </c>
      <c r="B4" t="s">
        <v>16</v>
      </c>
      <c r="C4" t="s">
        <v>17</v>
      </c>
      <c r="D4">
        <v>4</v>
      </c>
      <c r="E4">
        <v>2</v>
      </c>
      <c r="F4">
        <v>5</v>
      </c>
      <c r="G4">
        <v>2</v>
      </c>
      <c r="H4">
        <v>3</v>
      </c>
      <c r="I4">
        <v>3</v>
      </c>
      <c r="J4">
        <f t="shared" si="0"/>
        <v>3.4499999999999997</v>
      </c>
      <c r="K4">
        <f t="shared" si="1"/>
        <v>3</v>
      </c>
      <c r="L4">
        <f t="shared" si="2"/>
        <v>1.1499999999999999</v>
      </c>
      <c r="M4">
        <f t="shared" si="3"/>
        <v>1</v>
      </c>
    </row>
    <row r="5" spans="1:15" x14ac:dyDescent="0.35">
      <c r="A5" t="s">
        <v>18</v>
      </c>
      <c r="B5" t="s">
        <v>19</v>
      </c>
      <c r="C5" t="s">
        <v>20</v>
      </c>
      <c r="D5">
        <v>2</v>
      </c>
      <c r="E5">
        <v>4</v>
      </c>
      <c r="F5">
        <v>1</v>
      </c>
      <c r="G5">
        <v>5</v>
      </c>
      <c r="H5">
        <v>5</v>
      </c>
      <c r="I5">
        <v>3</v>
      </c>
      <c r="J5">
        <f t="shared" si="0"/>
        <v>2.7</v>
      </c>
      <c r="K5">
        <f t="shared" si="1"/>
        <v>4.2</v>
      </c>
      <c r="L5">
        <f t="shared" si="2"/>
        <v>0.6428571428571429</v>
      </c>
      <c r="M5">
        <f t="shared" si="3"/>
        <v>12</v>
      </c>
    </row>
    <row r="6" spans="1:15" x14ac:dyDescent="0.35">
      <c r="A6" t="s">
        <v>21</v>
      </c>
      <c r="B6" t="s">
        <v>22</v>
      </c>
      <c r="C6" t="s">
        <v>11</v>
      </c>
      <c r="D6">
        <v>5</v>
      </c>
      <c r="E6">
        <v>3</v>
      </c>
      <c r="F6">
        <v>4</v>
      </c>
      <c r="G6">
        <v>3</v>
      </c>
      <c r="H6">
        <v>4</v>
      </c>
      <c r="I6">
        <v>3</v>
      </c>
      <c r="J6">
        <f t="shared" si="0"/>
        <v>3.95</v>
      </c>
      <c r="K6">
        <f t="shared" si="1"/>
        <v>3.6</v>
      </c>
      <c r="L6">
        <f t="shared" si="2"/>
        <v>1.0972222222222223</v>
      </c>
      <c r="M6">
        <f t="shared" si="3"/>
        <v>2</v>
      </c>
    </row>
    <row r="7" spans="1:15" x14ac:dyDescent="0.35">
      <c r="A7" t="s">
        <v>23</v>
      </c>
      <c r="B7" t="s">
        <v>24</v>
      </c>
      <c r="C7" t="s">
        <v>14</v>
      </c>
      <c r="D7">
        <v>2</v>
      </c>
      <c r="E7">
        <v>5</v>
      </c>
      <c r="F7">
        <v>2</v>
      </c>
      <c r="G7">
        <v>3</v>
      </c>
      <c r="H7">
        <v>3</v>
      </c>
      <c r="I7">
        <v>5</v>
      </c>
      <c r="J7">
        <f t="shared" si="0"/>
        <v>2.9000000000000004</v>
      </c>
      <c r="K7">
        <f t="shared" si="1"/>
        <v>3.8</v>
      </c>
      <c r="L7">
        <f t="shared" si="2"/>
        <v>0.76315789473684226</v>
      </c>
      <c r="M7">
        <f t="shared" si="3"/>
        <v>9</v>
      </c>
    </row>
    <row r="8" spans="1:15" x14ac:dyDescent="0.35">
      <c r="A8" t="s">
        <v>25</v>
      </c>
      <c r="B8" t="s">
        <v>26</v>
      </c>
      <c r="C8" t="s">
        <v>20</v>
      </c>
      <c r="D8">
        <v>2</v>
      </c>
      <c r="E8">
        <v>3</v>
      </c>
      <c r="F8">
        <v>1</v>
      </c>
      <c r="G8">
        <v>5</v>
      </c>
      <c r="H8">
        <v>2</v>
      </c>
      <c r="I8">
        <v>3</v>
      </c>
      <c r="J8">
        <f t="shared" si="0"/>
        <v>2.4500000000000002</v>
      </c>
      <c r="K8">
        <f t="shared" si="1"/>
        <v>2.4000000000000004</v>
      </c>
      <c r="L8">
        <f t="shared" si="2"/>
        <v>1.0208333333333333</v>
      </c>
      <c r="M8">
        <f t="shared" si="3"/>
        <v>4</v>
      </c>
    </row>
    <row r="9" spans="1:15" x14ac:dyDescent="0.35">
      <c r="A9" t="s">
        <v>27</v>
      </c>
      <c r="B9" t="s">
        <v>28</v>
      </c>
      <c r="C9" t="s">
        <v>17</v>
      </c>
      <c r="D9">
        <v>5</v>
      </c>
      <c r="E9">
        <v>2</v>
      </c>
      <c r="F9">
        <v>4</v>
      </c>
      <c r="G9">
        <v>2</v>
      </c>
      <c r="H9">
        <v>5</v>
      </c>
      <c r="I9">
        <v>2</v>
      </c>
      <c r="J9">
        <f t="shared" si="0"/>
        <v>3.55</v>
      </c>
      <c r="K9">
        <f t="shared" si="1"/>
        <v>3.8</v>
      </c>
      <c r="L9">
        <f t="shared" si="2"/>
        <v>0.93421052631578949</v>
      </c>
      <c r="M9">
        <f t="shared" si="3"/>
        <v>7</v>
      </c>
    </row>
    <row r="10" spans="1:15" x14ac:dyDescent="0.35">
      <c r="A10" t="s">
        <v>29</v>
      </c>
      <c r="B10" t="s">
        <v>30</v>
      </c>
      <c r="C10" t="s">
        <v>20</v>
      </c>
      <c r="D10">
        <v>3</v>
      </c>
      <c r="E10">
        <v>4</v>
      </c>
      <c r="F10">
        <v>2</v>
      </c>
      <c r="G10">
        <v>4</v>
      </c>
      <c r="H10">
        <v>5</v>
      </c>
      <c r="I10">
        <v>4</v>
      </c>
      <c r="J10">
        <f t="shared" si="0"/>
        <v>3.15</v>
      </c>
      <c r="K10">
        <f t="shared" si="1"/>
        <v>4.5999999999999996</v>
      </c>
      <c r="L10">
        <f t="shared" si="2"/>
        <v>0.68478260869565222</v>
      </c>
      <c r="M10">
        <f t="shared" si="3"/>
        <v>11</v>
      </c>
    </row>
    <row r="11" spans="1:15" x14ac:dyDescent="0.35">
      <c r="A11" t="s">
        <v>31</v>
      </c>
      <c r="B11" t="s">
        <v>32</v>
      </c>
      <c r="C11" t="s">
        <v>11</v>
      </c>
      <c r="D11">
        <v>4</v>
      </c>
      <c r="E11">
        <v>2</v>
      </c>
      <c r="F11">
        <v>5</v>
      </c>
      <c r="G11">
        <v>3</v>
      </c>
      <c r="H11">
        <v>3</v>
      </c>
      <c r="I11">
        <v>4</v>
      </c>
      <c r="J11">
        <f t="shared" si="0"/>
        <v>3.5999999999999996</v>
      </c>
      <c r="K11">
        <f t="shared" si="1"/>
        <v>3.4</v>
      </c>
      <c r="L11">
        <f t="shared" si="2"/>
        <v>1.0588235294117647</v>
      </c>
      <c r="M11">
        <f t="shared" si="3"/>
        <v>3</v>
      </c>
    </row>
    <row r="12" spans="1:15" x14ac:dyDescent="0.35">
      <c r="A12" t="s">
        <v>33</v>
      </c>
      <c r="B12" t="s">
        <v>34</v>
      </c>
      <c r="C12" t="s">
        <v>14</v>
      </c>
      <c r="D12">
        <v>1</v>
      </c>
      <c r="E12">
        <v>5</v>
      </c>
      <c r="F12">
        <v>1</v>
      </c>
      <c r="G12">
        <v>3</v>
      </c>
      <c r="H12">
        <v>2</v>
      </c>
      <c r="I12">
        <v>5</v>
      </c>
      <c r="J12">
        <f t="shared" si="0"/>
        <v>2.2999999999999998</v>
      </c>
      <c r="K12">
        <f t="shared" si="1"/>
        <v>3.2</v>
      </c>
      <c r="L12">
        <f t="shared" si="2"/>
        <v>0.71874999999999989</v>
      </c>
      <c r="M12">
        <f t="shared" si="3"/>
        <v>10</v>
      </c>
    </row>
    <row r="13" spans="1:15" x14ac:dyDescent="0.35">
      <c r="A13" t="s">
        <v>35</v>
      </c>
      <c r="B13" t="s">
        <v>36</v>
      </c>
      <c r="C13" t="s">
        <v>20</v>
      </c>
      <c r="D13">
        <v>3</v>
      </c>
      <c r="E13">
        <v>3</v>
      </c>
      <c r="F13">
        <v>2</v>
      </c>
      <c r="G13">
        <v>5</v>
      </c>
      <c r="H13">
        <v>3</v>
      </c>
      <c r="I13">
        <v>3</v>
      </c>
      <c r="J13">
        <f t="shared" si="0"/>
        <v>3.05</v>
      </c>
      <c r="K13">
        <f t="shared" si="1"/>
        <v>3</v>
      </c>
      <c r="L13">
        <f t="shared" si="2"/>
        <v>1.0166666666666666</v>
      </c>
      <c r="M13">
        <f t="shared" si="3"/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Portfolio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Rishitha Kota</cp:lastModifiedBy>
  <dcterms:created xsi:type="dcterms:W3CDTF">2026-01-15T19:40:16Z</dcterms:created>
  <dcterms:modified xsi:type="dcterms:W3CDTF">2026-01-16T12:26:24Z</dcterms:modified>
</cp:coreProperties>
</file>